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_se_calc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07A72"/>
      </patternFill>
    </fill>
    <fill>
      <patternFill patternType="solid">
        <fgColor rgb="00EFEFE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50" customWidth="1" min="3" max="3"/>
    <col width="40" customWidth="1" min="4" max="4"/>
    <col width="46" customWidth="1" min="5" max="5"/>
    <col width="2" customWidth="1" min="6" max="6"/>
  </cols>
  <sheetData>
    <row r="1">
      <c r="A1" s="1" t="inlineStr">
        <is>
          <t>CÓMO SE CREA CADA VARIABLE — castigos, saldos, entidades, mora, meses</t>
        </is>
      </c>
    </row>
    <row r="3">
      <c r="A3" s="2" t="inlineStr">
        <is>
          <t>EJEMPLO A · RCC castigo — cliente JUAN (cuentas 8113/8123/8133, ventana 24m)</t>
        </is>
      </c>
      <c r="B3" s="3" t="n"/>
      <c r="C3" s="3" t="n"/>
      <c r="D3" s="3" t="n"/>
      <c r="E3" s="3" t="n"/>
      <c r="F3" s="3" t="n"/>
    </row>
    <row r="4">
      <c r="A4" s="4" t="inlineStr">
        <is>
          <t>codmes</t>
        </is>
      </c>
      <c r="B4" s="4" t="inlineStr">
        <is>
          <t>entidad</t>
        </is>
      </c>
      <c r="C4" s="4" t="inlineStr">
        <is>
          <t>cuenta</t>
        </is>
      </c>
      <c r="D4" s="4" t="inlineStr">
        <is>
          <t>condicion (días mora)</t>
        </is>
      </c>
      <c r="E4" s="4" t="inlineStr">
        <is>
          <t>saldo</t>
        </is>
      </c>
    </row>
    <row r="5">
      <c r="A5" s="5" t="inlineStr">
        <is>
          <t>202604</t>
        </is>
      </c>
      <c r="B5" s="5" t="inlineStr">
        <is>
          <t>00002 (IBK)</t>
        </is>
      </c>
      <c r="C5" s="5" t="inlineStr">
        <is>
          <t>8113</t>
        </is>
      </c>
      <c r="D5" s="5" t="inlineStr">
        <is>
          <t>120</t>
        </is>
      </c>
      <c r="E5" s="5" t="inlineStr">
        <is>
          <t>1,500</t>
        </is>
      </c>
    </row>
    <row r="6">
      <c r="A6" s="5" t="inlineStr">
        <is>
          <t>202604</t>
        </is>
      </c>
      <c r="B6" s="5" t="inlineStr">
        <is>
          <t>00003</t>
        </is>
      </c>
      <c r="C6" s="5" t="inlineStr">
        <is>
          <t>8113</t>
        </is>
      </c>
      <c r="D6" s="5" t="inlineStr">
        <is>
          <t>200</t>
        </is>
      </c>
      <c r="E6" s="5" t="inlineStr">
        <is>
          <t>1,000</t>
        </is>
      </c>
    </row>
    <row r="7">
      <c r="A7" s="5" t="inlineStr">
        <is>
          <t>202604</t>
        </is>
      </c>
      <c r="B7" s="5" t="inlineStr">
        <is>
          <t>00003</t>
        </is>
      </c>
      <c r="C7" s="5" t="inlineStr">
        <is>
          <t>8123</t>
        </is>
      </c>
      <c r="D7" s="5" t="inlineStr">
        <is>
          <t>500</t>
        </is>
      </c>
      <c r="E7" s="5" t="inlineStr">
        <is>
          <t>2,000</t>
        </is>
      </c>
    </row>
    <row r="8">
      <c r="A8" s="5" t="inlineStr">
        <is>
          <t>202604</t>
        </is>
      </c>
      <c r="B8" s="5" t="inlineStr">
        <is>
          <t>00007</t>
        </is>
      </c>
      <c r="C8" s="5" t="inlineStr">
        <is>
          <t>8113</t>
        </is>
      </c>
      <c r="D8" s="5" t="inlineStr">
        <is>
          <t>90</t>
        </is>
      </c>
      <c r="E8" s="5" t="inlineStr">
        <is>
          <t>800</t>
        </is>
      </c>
    </row>
    <row r="9">
      <c r="A9" s="5" t="inlineStr">
        <is>
          <t>202504</t>
        </is>
      </c>
      <c r="B9" s="5" t="inlineStr">
        <is>
          <t>00003</t>
        </is>
      </c>
      <c r="C9" s="5" t="inlineStr">
        <is>
          <t>8113</t>
        </is>
      </c>
      <c r="D9" s="5" t="inlineStr">
        <is>
          <t>150</t>
        </is>
      </c>
      <c r="E9" s="5" t="inlineStr">
        <is>
          <t>900</t>
        </is>
      </c>
    </row>
    <row r="11">
      <c r="A11" s="2" t="inlineStr">
        <is>
          <t>EJEMPLO B · RCC castigo NO-IBK — cliente MARÍA (solo mes 202604, no-IBK)</t>
        </is>
      </c>
      <c r="B11" s="3" t="n"/>
      <c r="C11" s="3" t="n"/>
      <c r="D11" s="3" t="n"/>
      <c r="E11" s="3" t="n"/>
      <c r="F11" s="3" t="n"/>
    </row>
    <row r="12">
      <c r="A12" s="4" t="inlineStr">
        <is>
          <t>codmes</t>
        </is>
      </c>
      <c r="B12" s="4" t="inlineStr">
        <is>
          <t>entidad</t>
        </is>
      </c>
      <c r="C12" s="4" t="inlineStr">
        <is>
          <t>cuenta</t>
        </is>
      </c>
      <c r="D12" s="4" t="inlineStr">
        <is>
          <t>condicion (días)</t>
        </is>
      </c>
      <c r="E12" s="4" t="inlineStr">
        <is>
          <t>saldo</t>
        </is>
      </c>
    </row>
    <row r="13">
      <c r="A13" s="5" t="inlineStr">
        <is>
          <t>202604</t>
        </is>
      </c>
      <c r="B13" s="5" t="inlineStr">
        <is>
          <t>00003</t>
        </is>
      </c>
      <c r="C13" s="5" t="inlineStr">
        <is>
          <t>8113</t>
        </is>
      </c>
      <c r="D13" s="5" t="inlineStr">
        <is>
          <t>300</t>
        </is>
      </c>
      <c r="E13" s="5" t="inlineStr">
        <is>
          <t>1,200</t>
        </is>
      </c>
    </row>
    <row r="14">
      <c r="A14" s="5" t="inlineStr">
        <is>
          <t>202604</t>
        </is>
      </c>
      <c r="B14" s="5" t="inlineStr">
        <is>
          <t>00003</t>
        </is>
      </c>
      <c r="C14" s="5" t="inlineStr">
        <is>
          <t>8123</t>
        </is>
      </c>
      <c r="D14" s="5" t="inlineStr">
        <is>
          <t>900</t>
        </is>
      </c>
      <c r="E14" s="5" t="inlineStr">
        <is>
          <t>4,000</t>
        </is>
      </c>
    </row>
    <row r="15">
      <c r="A15" s="5" t="inlineStr">
        <is>
          <t>202604</t>
        </is>
      </c>
      <c r="B15" s="5" t="inlineStr">
        <is>
          <t>00006</t>
        </is>
      </c>
      <c r="C15" s="5" t="inlineStr">
        <is>
          <t>8113</t>
        </is>
      </c>
      <c r="D15" s="5" t="inlineStr">
        <is>
          <t>600</t>
        </is>
      </c>
      <c r="E15" s="5" t="inlineStr">
        <is>
          <t>2,000</t>
        </is>
      </c>
    </row>
    <row r="17">
      <c r="A17" s="2" t="inlineStr">
        <is>
          <t>EJEMPLO C · t_360_cliente — un cliente, 6 meses (más reciente → más antiguo)</t>
        </is>
      </c>
      <c r="B17" s="3" t="n"/>
      <c r="C17" s="3" t="n"/>
      <c r="D17" s="3" t="n"/>
      <c r="E17" s="3" t="n"/>
      <c r="F17" s="3" t="n"/>
    </row>
    <row r="18">
      <c r="A18" s="4" t="inlineStr">
        <is>
          <t>cod_mes</t>
        </is>
      </c>
      <c r="B18" s="4" t="inlineStr">
        <is>
          <t>txs_prom</t>
        </is>
      </c>
      <c r="C18" s="4" t="inlineStr">
        <is>
          <t>planilla_prom</t>
        </is>
      </c>
      <c r="D18" s="4" t="inlineStr">
        <is>
          <t>tc_prom</t>
        </is>
      </c>
      <c r="E18" s="4" t="inlineStr">
        <is>
          <t>pasivo_prom</t>
        </is>
      </c>
      <c r="F18" s="4" t="inlineStr">
        <is>
          <t>pasivo_fdp</t>
        </is>
      </c>
    </row>
    <row r="19">
      <c r="A19" s="5" t="inlineStr">
        <is>
          <t>202606</t>
        </is>
      </c>
      <c r="B19" s="5" t="inlineStr">
        <is>
          <t>100</t>
        </is>
      </c>
      <c r="C19" s="5" t="inlineStr">
        <is>
          <t>90</t>
        </is>
      </c>
      <c r="D19" s="5" t="inlineStr">
        <is>
          <t>50</t>
        </is>
      </c>
      <c r="E19" s="5" t="inlineStr">
        <is>
          <t>250</t>
        </is>
      </c>
      <c r="F19" s="5" t="inlineStr">
        <is>
          <t>500</t>
        </is>
      </c>
    </row>
    <row r="20">
      <c r="A20" s="5" t="inlineStr">
        <is>
          <t>202605</t>
        </is>
      </c>
      <c r="B20" s="5" t="inlineStr">
        <is>
          <t>80</t>
        </is>
      </c>
      <c r="C20" s="5" t="inlineStr">
        <is>
          <t>80</t>
        </is>
      </c>
      <c r="D20" s="5" t="inlineStr">
        <is>
          <t>40</t>
        </is>
      </c>
      <c r="E20" s="5" t="inlineStr">
        <is>
          <t>200</t>
        </is>
      </c>
      <c r="F20" s="5" t="inlineStr">
        <is>
          <t>400</t>
        </is>
      </c>
    </row>
    <row r="21">
      <c r="A21" s="5" t="inlineStr">
        <is>
          <t>202604</t>
        </is>
      </c>
      <c r="B21" s="5" t="inlineStr">
        <is>
          <t>60</t>
        </is>
      </c>
      <c r="C21" s="5" t="inlineStr">
        <is>
          <t>70</t>
        </is>
      </c>
      <c r="D21" s="5" t="inlineStr">
        <is>
          <t>30</t>
        </is>
      </c>
      <c r="E21" s="5" t="inlineStr">
        <is>
          <t>150</t>
        </is>
      </c>
      <c r="F21" s="5" t="inlineStr">
        <is>
          <t>300</t>
        </is>
      </c>
    </row>
    <row r="22">
      <c r="A22" s="5" t="inlineStr">
        <is>
          <t>202603</t>
        </is>
      </c>
      <c r="B22" s="5" t="inlineStr">
        <is>
          <t>40</t>
        </is>
      </c>
      <c r="C22" s="5" t="inlineStr">
        <is>
          <t>60</t>
        </is>
      </c>
      <c r="D22" s="5" t="inlineStr">
        <is>
          <t>20</t>
        </is>
      </c>
      <c r="E22" s="5" t="inlineStr">
        <is>
          <t>100</t>
        </is>
      </c>
      <c r="F22" s="5" t="inlineStr">
        <is>
          <t>200</t>
        </is>
      </c>
    </row>
    <row r="23">
      <c r="A23" s="5" t="inlineStr">
        <is>
          <t>202602</t>
        </is>
      </c>
      <c r="B23" s="5" t="inlineStr">
        <is>
          <t>20</t>
        </is>
      </c>
      <c r="C23" s="5" t="inlineStr">
        <is>
          <t>50</t>
        </is>
      </c>
      <c r="D23" s="5" t="inlineStr">
        <is>
          <t>10</t>
        </is>
      </c>
      <c r="E23" s="5" t="inlineStr">
        <is>
          <t>50</t>
        </is>
      </c>
      <c r="F23" s="5" t="inlineStr">
        <is>
          <t>0</t>
        </is>
      </c>
    </row>
    <row r="24">
      <c r="A24" s="5" t="inlineStr">
        <is>
          <t>202601</t>
        </is>
      </c>
      <c r="B24" s="5" t="inlineStr">
        <is>
          <t>0</t>
        </is>
      </c>
      <c r="C24" s="5" t="inlineStr">
        <is>
          <t>40</t>
        </is>
      </c>
      <c r="D24" s="5" t="inlineStr">
        <is>
          <t>0</t>
        </is>
      </c>
      <c r="E24" s="5" t="inlineStr">
        <is>
          <t>0</t>
        </is>
      </c>
      <c r="F24" s="5" t="inlineStr">
        <is>
          <t>0</t>
        </is>
      </c>
    </row>
    <row r="26">
      <c r="A26" s="2" t="inlineStr">
        <is>
          <t>CÁLCULO DE CADA VARIABLE + RESULTADO EN EL EJEMPLO</t>
        </is>
      </c>
      <c r="B26" s="3" t="n"/>
      <c r="C26" s="3" t="n"/>
      <c r="D26" s="3" t="n"/>
      <c r="E26" s="3" t="n"/>
      <c r="F26" s="3" t="n"/>
    </row>
    <row r="27">
      <c r="A27" s="6" t="inlineStr">
        <is>
          <t>Variable</t>
        </is>
      </c>
      <c r="B27" s="6" t="inlineStr">
        <is>
          <t>Qué mide</t>
        </is>
      </c>
      <c r="C27" s="6" t="inlineStr">
        <is>
          <t>Cómo se calcula</t>
        </is>
      </c>
      <c r="D27" s="6" t="inlineStr">
        <is>
          <t>Resultado en el ejemplo</t>
        </is>
      </c>
      <c r="E27" s="6" t="inlineStr">
        <is>
          <t>Particularidad / nota</t>
        </is>
      </c>
    </row>
    <row r="28">
      <c r="A28" s="5" t="inlineStr">
        <is>
          <t>DEUDA_CAS</t>
        </is>
      </c>
      <c r="B28" s="5" t="inlineStr">
        <is>
          <t>Saldo castigado asignado al cliente</t>
        </is>
      </c>
      <c r="C28" s="5" t="inlineStr">
        <is>
          <t>Cascada c→d→e→f: 0 si castigo IBK actual (c) o IBK U24M (d); s_cast_noibk si no-IBK actual (e); sld_u24 si no-IBK U24M (f); si no 0</t>
        </is>
      </c>
      <c r="D28" s="5" t="inlineStr">
        <is>
          <t>JUAN tiene IBK (rama c) → 0.  MARÍA solo no-IBK → s_cast_noibk = 7,200</t>
        </is>
      </c>
      <c r="E28" s="5" t="inlineStr">
        <is>
          <t>Gana la 1ra rama de la cascada (por eso JUAN sale 0 aunque tenga no-IBK)</t>
        </is>
      </c>
    </row>
    <row r="29">
      <c r="A29" s="5" t="inlineStr">
        <is>
          <t>nro_entidades_castigo</t>
        </is>
      </c>
      <c r="B29" s="5" t="inlineStr">
        <is>
          <t>Cuántas entidades te castigaron en el mes</t>
        </is>
      </c>
      <c r="C29" s="5" t="inlineStr">
        <is>
          <t>COUNT(DISTINCT entidad) en codmes=202604 (cuentas 81)</t>
        </is>
      </c>
      <c r="D29" s="5" t="inlineStr">
        <is>
          <t>JUAN → 3  (00002, 00003, 00007)</t>
        </is>
      </c>
      <c r="E29" s="5" t="inlineStr">
        <is>
          <t>Solo el mes actual (202604)</t>
        </is>
      </c>
    </row>
    <row r="30">
      <c r="A30" s="5" t="inlineStr">
        <is>
          <t>monto_castigado_total</t>
        </is>
      </c>
      <c r="B30" s="5" t="inlineStr">
        <is>
          <t>Saldo castigado total del mes</t>
        </is>
      </c>
      <c r="C30" s="5" t="inlineStr">
        <is>
          <t>SUM(saldo) en codmes=202604</t>
        </is>
      </c>
      <c r="D30" s="5" t="inlineStr">
        <is>
          <t>JUAN → 1,500+1,000+2,000+800 = 5,300</t>
        </is>
      </c>
      <c r="E30" s="5" t="inlineStr">
        <is>
          <t>Suma todas las entidades</t>
        </is>
      </c>
    </row>
    <row r="31">
      <c r="A31" s="5" t="inlineStr">
        <is>
          <t>monto_castigado_ibk</t>
        </is>
      </c>
      <c r="B31" s="5" t="inlineStr">
        <is>
          <t>Saldo castigado en IBK</t>
        </is>
      </c>
      <c r="C31" s="5" t="inlineStr">
        <is>
          <t>SUM(saldo) codmes=202604 y entidad='00002'</t>
        </is>
      </c>
      <c r="D31" s="5" t="inlineStr">
        <is>
          <t>JUAN → 1,500</t>
        </is>
      </c>
      <c r="E31" s="5" t="inlineStr"/>
    </row>
    <row r="32">
      <c r="A32" s="5" t="inlineStr">
        <is>
          <t>monto_castigado_otros</t>
        </is>
      </c>
      <c r="B32" s="5" t="inlineStr">
        <is>
          <t>Saldo castigado fuera de IBK</t>
        </is>
      </c>
      <c r="C32" s="5" t="inlineStr">
        <is>
          <t>SUM(saldo) codmes=202604 y entidad&lt;&gt;'00002'</t>
        </is>
      </c>
      <c r="D32" s="5" t="inlineStr">
        <is>
          <t>JUAN → 1,000+2,000+800 = 3,800</t>
        </is>
      </c>
      <c r="E32" s="5" t="inlineStr"/>
    </row>
    <row r="33">
      <c r="A33" s="5" t="inlineStr">
        <is>
          <t>max_dias_mora_castigo</t>
        </is>
      </c>
      <c r="B33" s="5" t="inlineStr">
        <is>
          <t>Peor mora (días) del castigo del mes</t>
        </is>
      </c>
      <c r="C33" s="5" t="inlineStr">
        <is>
          <t>MAX(condicion) en codmes=202604</t>
        </is>
      </c>
      <c r="D33" s="5" t="inlineStr">
        <is>
          <t>JUAN → 500</t>
        </is>
      </c>
      <c r="E33" s="5" t="inlineStr">
        <is>
          <t>Toma el MÁXIMO de días</t>
        </is>
      </c>
    </row>
    <row r="34">
      <c r="A34" s="5" t="inlineStr">
        <is>
          <t>meses_desde_ultimo_castigo</t>
        </is>
      </c>
      <c r="B34" s="5" t="inlineStr">
        <is>
          <t>Meses desde el ÚLTIMO mes con castigo</t>
        </is>
      </c>
      <c r="C34" s="5" t="inlineStr">
        <is>
          <t>date_diff('month', MAX(codmes), 202604)</t>
        </is>
      </c>
      <c r="D34" s="5" t="inlineStr">
        <is>
          <t>JUAN → 0  (último castigo = abr-2026)</t>
        </is>
      </c>
      <c r="E34" s="5" t="inlineStr">
        <is>
          <t>0 = castigo muy reciente</t>
        </is>
      </c>
    </row>
    <row r="35">
      <c r="A35" s="5" t="inlineStr">
        <is>
          <t>meses_desde_primer_castigo</t>
        </is>
      </c>
      <c r="B35" s="5" t="inlineStr">
        <is>
          <t>Meses desde el PRIMER castigo (ventana 24m)</t>
        </is>
      </c>
      <c r="C35" s="5" t="inlineStr">
        <is>
          <t>date_diff('month', MIN(codmes), 202604)</t>
        </is>
      </c>
      <c r="D35" s="5" t="inlineStr">
        <is>
          <t>JUAN → 12  (primer reporte = abr-2025)</t>
        </is>
      </c>
      <c r="E35" s="5" t="inlineStr">
        <is>
          <t>Mide antigüedad del castigo</t>
        </is>
      </c>
    </row>
    <row r="36">
      <c r="A36" s="5" t="inlineStr">
        <is>
          <t>dm_cast_noibk</t>
        </is>
      </c>
      <c r="B36" s="5" t="inlineStr">
        <is>
          <t>Días de mora del castigo NO-IBK (consolidado)</t>
        </is>
      </c>
      <c r="C36" s="5" t="inlineStr">
        <is>
          <t>max( MIN(condicion) por entidad ), mes 202604, no-IBK</t>
        </is>
      </c>
      <c r="D36" s="5" t="inlineStr">
        <is>
          <t>MARÍA → 00003 min(300,900)=300 ; 00006 min=600 → MAX(300,600)= 600</t>
        </is>
      </c>
      <c r="E36" s="5" t="inlineStr">
        <is>
          <t>⚠ MAX del MIN: conservador → SUBESTIMA la mora (vs max-max = 900)</t>
        </is>
      </c>
    </row>
    <row r="37">
      <c r="A37" s="5" t="inlineStr">
        <is>
          <t>s_cast_noibk</t>
        </is>
      </c>
      <c r="B37" s="5" t="inlineStr">
        <is>
          <t>Saldo castigado NO-IBK</t>
        </is>
      </c>
      <c r="C37" s="5" t="inlineStr">
        <is>
          <t>SUM(saldo) no-IBK en codmes=202604</t>
        </is>
      </c>
      <c r="D37" s="5" t="inlineStr">
        <is>
          <t>MARÍA → 1,200+4,000+2,000 = 7,200</t>
        </is>
      </c>
      <c r="E37" s="5" t="inlineStr">
        <is>
          <t>El saldo SÍ se suma completo (no se subestima)</t>
        </is>
      </c>
    </row>
    <row r="38">
      <c r="A38" s="5" t="inlineStr">
        <is>
          <t>ANTI_CAST / FLG_CAST_AP</t>
        </is>
      </c>
      <c r="B38" s="5" t="inlineStr">
        <is>
          <t>Antigüedad &lt;5 / &gt;=5 años y segmento</t>
        </is>
      </c>
      <c r="C38" s="5" t="inlineStr">
        <is>
          <t>dm_cast_noibk / 360 ; corte en 5 años (1800 días)</t>
        </is>
      </c>
      <c r="D38" s="5" t="inlineStr">
        <is>
          <t>MARÍA → 600/360 = 1.7 años → '&lt;5años' → CAST_NOIBK_REP&lt;5anios</t>
        </is>
      </c>
      <c r="E38" s="5" t="inlineStr">
        <is>
          <t>60 meses = 5 años</t>
        </is>
      </c>
    </row>
    <row r="39">
      <c r="A39" s="5" t="inlineStr">
        <is>
          <t>saldo_prom_tot_txs_um</t>
        </is>
      </c>
      <c r="B39" s="5" t="inlineStr">
        <is>
          <t>Saldo txs último mes</t>
        </is>
      </c>
      <c r="C39" s="5" t="inlineStr">
        <is>
          <t>MAX del mes 202606</t>
        </is>
      </c>
      <c r="D39" s="5">
        <f> 100</f>
        <v/>
      </c>
      <c r="E39" s="5" t="inlineStr">
        <is>
          <t>Patrón _um = mes 202606</t>
        </is>
      </c>
    </row>
    <row r="40">
      <c r="A40" s="5" t="inlineStr">
        <is>
          <t>saldo_prom_tot_txs_u3m</t>
        </is>
      </c>
      <c r="B40" s="5" t="inlineStr">
        <is>
          <t>Promedio txs U3M</t>
        </is>
      </c>
      <c r="C40" s="5" t="inlineStr">
        <is>
          <t>AVG(202606,202605,202604)</t>
        </is>
      </c>
      <c r="D40" s="5" t="inlineStr">
        <is>
          <t>(100+80+60)/3 = 80</t>
        </is>
      </c>
      <c r="E40" s="5" t="inlineStr">
        <is>
          <t>_u3m = 3 meses</t>
        </is>
      </c>
    </row>
    <row r="41">
      <c r="A41" s="5" t="inlineStr">
        <is>
          <t>saldo_prom_tot_txs_u6m</t>
        </is>
      </c>
      <c r="B41" s="5" t="inlineStr">
        <is>
          <t>Promedio txs U6M</t>
        </is>
      </c>
      <c r="C41" s="5" t="inlineStr">
        <is>
          <t>AVG de los 6 meses</t>
        </is>
      </c>
      <c r="D41" s="5" t="inlineStr">
        <is>
          <t>(100+80+60+40+20+0)/6 = 50</t>
        </is>
      </c>
      <c r="E41" s="5" t="inlineStr">
        <is>
          <t>_u6m = 6 meses. (planilla/tc siguen igual)</t>
        </is>
      </c>
    </row>
    <row r="42">
      <c r="A42" s="5" t="inlineStr">
        <is>
          <t>saldo_prom_tot_pasivo_max_u6m</t>
        </is>
      </c>
      <c r="B42" s="5" t="inlineStr">
        <is>
          <t>Máx pasivo en 6 meses</t>
        </is>
      </c>
      <c r="C42" s="5" t="inlineStr">
        <is>
          <t>MAX(pasivo_prom) en U6M</t>
        </is>
      </c>
      <c r="D42" s="5" t="inlineStr">
        <is>
          <t>MAX(250,200,150,100,50,0) = 250</t>
        </is>
      </c>
      <c r="E42" s="5" t="inlineStr"/>
    </row>
    <row r="43">
      <c r="A43" s="5" t="inlineStr">
        <is>
          <t>var_pasivo_um_vs_u6m</t>
        </is>
      </c>
      <c r="B43" s="5" t="inlineStr">
        <is>
          <t>Variación del pasivo</t>
        </is>
      </c>
      <c r="C43" s="5" t="inlineStr">
        <is>
          <t>(pasivo_um − pasivo_u6m) / pasivo_u6m</t>
        </is>
      </c>
      <c r="D43" s="5" t="inlineStr">
        <is>
          <t>um=250 ; u6m=(250+..+0)/6=125 → (250−125)/125 = 1.0</t>
        </is>
      </c>
      <c r="E43" s="5" t="inlineStr">
        <is>
          <t>nullif evita /0 (null si u6m=0)</t>
        </is>
      </c>
    </row>
    <row r="44">
      <c r="A44" s="5" t="inlineStr">
        <is>
          <t>saldo_pasivo_actual</t>
        </is>
      </c>
      <c r="B44" s="5" t="inlineStr">
        <is>
          <t>Saldo pasivo (fdp) último mes</t>
        </is>
      </c>
      <c r="C44" s="5" t="inlineStr">
        <is>
          <t>MAX(pasivo_fdp) en 202606</t>
        </is>
      </c>
      <c r="D44" s="5">
        <f> 500</f>
        <v/>
      </c>
      <c r="E44" s="5" t="inlineStr"/>
    </row>
    <row r="45">
      <c r="A45" s="5" t="inlineStr">
        <is>
          <t>prom_saldo_pasivo_u4m</t>
        </is>
      </c>
      <c r="B45" s="5" t="inlineStr">
        <is>
          <t>Promedio pasivo U4M</t>
        </is>
      </c>
      <c r="C45" s="5" t="inlineStr">
        <is>
          <t>AVG(202606,202605,202604,202603)</t>
        </is>
      </c>
      <c r="D45" s="5" t="inlineStr">
        <is>
          <t>(500+400+300+200)/4 = 350</t>
        </is>
      </c>
      <c r="E45" s="5" t="inlineStr"/>
    </row>
    <row r="46">
      <c r="A46" s="5" t="inlineStr">
        <is>
          <t>max_saldo_pasivo_u6m</t>
        </is>
      </c>
      <c r="B46" s="5" t="inlineStr">
        <is>
          <t>Máx pasivo (fdp) 6m</t>
        </is>
      </c>
      <c r="C46" s="5" t="inlineStr">
        <is>
          <t>MAX(pasivo_fdp)</t>
        </is>
      </c>
      <c r="D46" s="5">
        <f> 500</f>
        <v/>
      </c>
      <c r="E46" s="5" t="inlineStr"/>
    </row>
    <row r="47">
      <c r="A47" s="5" t="inlineStr">
        <is>
          <t>nro_meses_con_pasivo_u6m</t>
        </is>
      </c>
      <c r="B47" s="5" t="inlineStr">
        <is>
          <t>Meses con pasivo &gt; 0 (6m)</t>
        </is>
      </c>
      <c r="C47" s="5" t="inlineStr">
        <is>
          <t>COUNT(DISTINCT cod_mes con saldo&gt;0)</t>
        </is>
      </c>
      <c r="D47" s="5" t="inlineStr">
        <is>
          <t>500,400,300,200&gt;0 → 4  (los dos 0 no cuentan)</t>
        </is>
      </c>
      <c r="E47" s="5" t="inlineStr"/>
    </row>
    <row r="48">
      <c r="A48" s="5" t="inlineStr">
        <is>
          <t>saldo_pasivo_componentes_u3m</t>
        </is>
      </c>
      <c r="B48" s="5" t="inlineStr">
        <is>
          <t>Suma planilla+txs+tc (U3M)</t>
        </is>
      </c>
      <c r="C48" s="5" t="inlineStr">
        <is>
          <t>planilla_u3m + txs_u3m + tc_u3m</t>
        </is>
      </c>
      <c r="D48" s="5" t="inlineStr">
        <is>
          <t>80 + 80 + 40 = 200</t>
        </is>
      </c>
      <c r="E48" s="5" t="inlineStr">
        <is>
          <t>Derivada (suma de 3 promedios)</t>
        </is>
      </c>
    </row>
    <row r="49">
      <c r="A49" s="5" t="inlineStr">
        <is>
          <t>ratio_tc_pasivo_u3m</t>
        </is>
      </c>
      <c r="B49" s="5" t="inlineStr">
        <is>
          <t>TC / pasivo (U3M)</t>
        </is>
      </c>
      <c r="C49" s="5" t="inlineStr">
        <is>
          <t>tc_u3m / nullif(pasivo_u3m,0)</t>
        </is>
      </c>
      <c r="D49" s="5" t="inlineStr">
        <is>
          <t>40 / 200 = 0.20</t>
        </is>
      </c>
      <c r="E49" s="5" t="inlineStr">
        <is>
          <t>nullif → null si pasivo=0 (evita /0)</t>
        </is>
      </c>
    </row>
    <row r="50">
      <c r="A50" s="7" t="inlineStr">
        <is>
          <t>nro_entidades_castigo_vida</t>
        </is>
      </c>
      <c r="B50" s="7" t="inlineStr">
        <is>
          <t># entidades castigo 'vida' (U24M)</t>
        </is>
      </c>
      <c r="C50" s="7" t="inlineStr">
        <is>
          <t>COUNT(DISTINCT entidad) [cuenta 81·(302/925), tipo_credito 11/12/13/99, codmes&gt;=202403];  COALESCE(...,0)</t>
        </is>
      </c>
      <c r="D50" s="7" t="inlineStr">
        <is>
          <t>MARÍA → 2 ;  PEDRO sin castigo → 0</t>
        </is>
      </c>
      <c r="E50" s="7" t="inlineStr">
        <is>
          <t>★ COALESCE(...,0): el 0 = SIN castigo (de aquí salía el bin '&lt;=0' del WoE)</t>
        </is>
      </c>
    </row>
    <row r="51">
      <c r="A51" s="7" t="inlineStr">
        <is>
          <t>tipo_entidad_castigo_vida</t>
        </is>
      </c>
      <c r="B51" s="7" t="inlineStr">
        <is>
          <t>Tipo de entidad del castigo vida</t>
        </is>
      </c>
      <c r="C51" s="7" t="inlineStr">
        <is>
          <t>'BIG FOUR' si entidad ∈ {00001,00002,00004,00006}, si no 'OTROS';  COALESCE(...,'SIN CASTIGO')</t>
        </is>
      </c>
      <c r="D51" s="7" t="inlineStr">
        <is>
          <t>MARÍA (tiene 00006) → BIG FOUR ;  PEDRO → SIN CASTIGO</t>
        </is>
      </c>
      <c r="E51" s="7" t="inlineStr">
        <is>
          <t>★ COALESCE(...,'SIN CASTIGO')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2026-06-19T14:55:02Z</dcterms:created>
  <dcterms:modified xsi:type="dcterms:W3CDTF">2026-06-19T14:55:02Z</dcterms:modified>
</cp:coreProperties>
</file>